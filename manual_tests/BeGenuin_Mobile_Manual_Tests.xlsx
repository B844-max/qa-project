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bile 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<sst xmlns="http://schemas.openxmlformats.org/spreadsheetml/2006/main" count="124" uniqueCount="98">
  <si>
    <t xml:space="preserve">BeGenuin Mobile App — Manual Test Cases</t>
  </si>
  <si>
    <t xml:space="preserve">TC #</t>
  </si>
  <si>
    <t xml:space="preserve">Module</t>
  </si>
  <si>
    <t xml:space="preserve">Test Case</t>
  </si>
  <si>
    <t xml:space="preserve">Pre-condition</t>
  </si>
  <si>
    <t xml:space="preserve">Test Steps</t>
  </si>
  <si>
    <t xml:space="preserve">Type</t>
  </si>
  <si>
    <t xml:space="preserve">Priority</t>
  </si>
  <si>
    <t xml:space="preserve">Expected Result</t>
  </si>
  <si>
    <t xml:space="preserve">Result</t>
  </si>
  <si>
    <t xml:space="preserve">Notes / Observations</t>
  </si>
  <si>
    <t xml:space="preserve">TC-01</t>
  </si>
  <si>
    <t xml:space="preserve">App Launch</t>
  </si>
  <si>
    <t xml:space="preserve">App opens without crash</t>
  </si>
  <si>
    <t xml:space="preserve">App installed on device</t>
  </si>
  <si>
    <t xml:space="preserve">1. Locate BeGenuin app icon
2. Tap to open
3. Observe launch behaviour</t>
  </si>
  <si>
    <t xml:space="preserve">Smoke</t>
  </si>
  <si>
    <t xml:space="preserve">High</t>
  </si>
  <si>
    <t xml:space="preserve">App launches and shows splash screen or login screen within 5 seconds. No crash or black screen.</t>
  </si>
  <si>
    <t xml:space="preserve">Not Executed</t>
  </si>
  <si>
    <t xml:space="preserve">TC-02</t>
  </si>
  <si>
    <t xml:space="preserve">Onboarding</t>
  </si>
  <si>
    <t xml:space="preserve">Login screen displays all elements correctly</t>
  </si>
  <si>
    <t xml:space="preserve">App open on login/welcome screen</t>
  </si>
  <si>
    <t xml:space="preserve">1. Open app
2. Observe the login screen layout
3. Check for Login button, input fields, and logo</t>
  </si>
  <si>
    <t xml:space="preserve">UI/UX</t>
  </si>
  <si>
    <t xml:space="preserve">Logo, email/phone input, password input, and Login button are all visible and not overlapping. Text is readable.</t>
  </si>
  <si>
    <t xml:space="preserve">TC-03</t>
  </si>
  <si>
    <t xml:space="preserve">Login</t>
  </si>
  <si>
    <t xml:space="preserve">Login with valid credentials</t>
  </si>
  <si>
    <t xml:space="preserve">User has a registered BeGenuin account</t>
  </si>
  <si>
    <t xml:space="preserve">1. Enter registered email/phone
2. Enter correct password
3. Tap Login</t>
  </si>
  <si>
    <t xml:space="preserve">Functional</t>
  </si>
  <si>
    <t xml:space="preserve">User is successfully logged in and redirected to the home feed within 3–5 seconds.</t>
  </si>
  <si>
    <t xml:space="preserve">TC-04</t>
  </si>
  <si>
    <t xml:space="preserve">Login with wrong password shows error</t>
  </si>
  <si>
    <t xml:space="preserve">App on login screen</t>
  </si>
  <si>
    <t xml:space="preserve">1. Enter a valid email
2. Enter an incorrect password
3. Tap Login</t>
  </si>
  <si>
    <t xml:space="preserve">Error Handling</t>
  </si>
  <si>
    <t xml:space="preserve">An error message appears (e.g. 'Incorrect password'). App does not crash. User remains on login screen.</t>
  </si>
  <si>
    <t xml:space="preserve">TC-05</t>
  </si>
  <si>
    <t xml:space="preserve">Home Feed</t>
  </si>
  <si>
    <t xml:space="preserve">Home feed loads content after login</t>
  </si>
  <si>
    <t xml:space="preserve">Logged in; active internet connection</t>
  </si>
  <si>
    <t xml:space="preserve">1. Log in successfully
2. Observe the home feed
3. Scroll down slightly</t>
  </si>
  <si>
    <t xml:space="preserve">Feed populates with video/post content. No blank screen. Content is visible within 5 seconds.</t>
  </si>
  <si>
    <t xml:space="preserve">TC-06</t>
  </si>
  <si>
    <t xml:space="preserve">Feed scroll is smooth</t>
  </si>
  <si>
    <t xml:space="preserve">Logged in; feed loaded with content</t>
  </si>
  <si>
    <t xml:space="preserve">1. Scroll down the home feed slowly
2. Scroll quickly
3. Observe for lag or freezing</t>
  </si>
  <si>
    <t xml:space="preserve">Performance</t>
  </si>
  <si>
    <t xml:space="preserve">Medium</t>
  </si>
  <si>
    <t xml:space="preserve">Scrolling is smooth without noticeable lag or frame drops. App does not freeze or crash.</t>
  </si>
  <si>
    <t xml:space="preserve">TC-07</t>
  </si>
  <si>
    <t xml:space="preserve">Content</t>
  </si>
  <si>
    <t xml:space="preserve">Video plays when tapped</t>
  </si>
  <si>
    <t xml:space="preserve">Logged in; video post visible in feed</t>
  </si>
  <si>
    <t xml:space="preserve">1. Locate a video post in the feed
2. Tap on it
3. Observe playback</t>
  </si>
  <si>
    <t xml:space="preserve">Video begins playing. Audio plays (or mute icon is visible). No buffering spinner stuck for more than 5 seconds on good connection.</t>
  </si>
  <si>
    <t xml:space="preserve">TC-08</t>
  </si>
  <si>
    <t xml:space="preserve">Navigation</t>
  </si>
  <si>
    <t xml:space="preserve">Bottom navigation tabs work</t>
  </si>
  <si>
    <t xml:space="preserve">Logged in; on home feed</t>
  </si>
  <si>
    <t xml:space="preserve">1. Tap each icon in the bottom navigation bar
2. Observe screen change for each tab</t>
  </si>
  <si>
    <t xml:space="preserve">Each tab navigates to the correct screen (e.g. Home, Search, Notifications, Profile). No tab leads to a blank or broken screen.</t>
  </si>
  <si>
    <t xml:space="preserve">TC-09</t>
  </si>
  <si>
    <t xml:space="preserve">Profile</t>
  </si>
  <si>
    <t xml:space="preserve">User profile page loads correctly</t>
  </si>
  <si>
    <t xml:space="preserve">Logged in</t>
  </si>
  <si>
    <t xml:space="preserve">1. Tap the Profile tab or avatar icon
2. Observe the profile screen</t>
  </si>
  <si>
    <t xml:space="preserve">Profile screen shows username, profile photo (or placeholder), and post count. No broken images or missing text.</t>
  </si>
  <si>
    <t xml:space="preserve">TC-10</t>
  </si>
  <si>
    <t xml:space="preserve">App shows message when internet is off</t>
  </si>
  <si>
    <t xml:space="preserve">Logged in; Wi-Fi and mobile data turned OFF</t>
  </si>
  <si>
    <t xml:space="preserve">1. Turn off Wi-Fi and mobile data
2. Open the app or try to refresh the feed</t>
  </si>
  <si>
    <t xml:space="preserve">App displays an offline/no-connection message or error state. Does not crash. Does not show a blank white screen silently.</t>
  </si>
  <si>
    <t xml:space="preserve">Test Summary — BeGenuin Mobile App</t>
  </si>
  <si>
    <t xml:space="preserve">Project</t>
  </si>
  <si>
    <t xml:space="preserve">BeGenuin – Mobile Application</t>
  </si>
  <si>
    <t xml:space="preserve">Platform</t>
  </si>
  <si>
    <t xml:space="preserve">Android (Google Play)</t>
  </si>
  <si>
    <t xml:space="preserve">Test Type</t>
  </si>
  <si>
    <t xml:space="preserve">Manual Testing</t>
  </si>
  <si>
    <t xml:space="preserve">Tester</t>
  </si>
  <si>
    <t xml:space="preserve">— fill your name —</t>
  </si>
  <si>
    <t xml:space="preserve">Test Date</t>
  </si>
  <si>
    <t xml:space="preserve">— fill date —</t>
  </si>
  <si>
    <t xml:space="preserve">Device Used</t>
  </si>
  <si>
    <t xml:space="preserve">— fill device model &amp; OS version —</t>
  </si>
  <si>
    <t xml:space="preserve">App Version</t>
  </si>
  <si>
    <t xml:space="preserve">— check in Play Store / App info —</t>
  </si>
  <si>
    <t xml:space="preserve">Metric</t>
  </si>
  <si>
    <t xml:space="preserve">Value</t>
  </si>
  <si>
    <t xml:space="preserve">Total Test Cases</t>
  </si>
  <si>
    <t xml:space="preserve">Passed</t>
  </si>
  <si>
    <t xml:space="preserve">Failed</t>
  </si>
  <si>
    <t xml:space="preserve">Pass Rate</t>
  </si>
  <si>
    <t xml:space="preserve">Fill in the Result column (Pass / Fail / Blocked) in the test cases sheet after manual execution.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</si>
</sst>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D4ED8"/>
      <name val="Calibri"/>
      <family val="0"/>
      <charset val="1"/>
    </font>
    <font>
      <b val="true"/>
      <sz val="10"/>
      <color rgb="FF1E3A5F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sz val="10"/>
      <color rgb="FF4B5563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b val="true"/>
      <sz val="10"/>
      <color rgb="FF991B1B"/>
      <name val="Calibri"/>
      <family val="0"/>
      <charset val="1"/>
    </font>
    <font>
      <sz val="10"/>
      <color rgb="FF166534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sz val="10"/>
      <color rgb="FF374151"/>
      <name val="Calibri"/>
      <family val="0"/>
      <charset val="1"/>
    </font>
    <font>
      <b val="true"/>
      <sz val="10"/>
      <color rgb="FF5B21B6"/>
      <name val="Calibri"/>
      <family val="0"/>
      <charset val="1"/>
    </font>
    <font>
      <b val="true"/>
      <sz val="10"/>
      <color rgb="FF065F46"/>
      <name val="Calibri"/>
      <family val="0"/>
      <charset val="1"/>
    </font>
    <font>
      <b val="true"/>
      <sz val="10"/>
      <color rgb="FF1E40AF"/>
      <name val="Calibri"/>
      <family val="0"/>
      <charset val="1"/>
    </font>
    <font>
      <b val="true"/>
      <sz val="10"/>
      <color rgb="FF78350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374151"/>
      <name val="Calibri"/>
      <family val="0"/>
      <charset val="1"/>
    </font>
    <font>
      <i val="true"/>
      <sz val="9"/>
      <color rgb="FF6B7280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D4ED8"/>
        <bgColor rgb="FF1E40AF"/>
      </patternFill>
    </fill>
    <fill>
      <patternFill patternType="solid">
        <fgColor rgb="FF1E3A5F"/>
        <bgColor rgb="FF374151"/>
      </patternFill>
    </fill>
    <fill>
      <patternFill patternType="solid">
        <fgColor rgb="FFFFFFFF"/>
        <bgColor rgb="FFF9FAFB"/>
      </patternFill>
    </fill>
    <fill>
      <patternFill patternType="solid">
        <fgColor rgb="FFFEF3C7"/>
        <bgColor rgb="FFFEF9C3"/>
      </patternFill>
    </fill>
    <fill>
      <patternFill patternType="solid">
        <fgColor rgb="FFFEE2E2"/>
        <bgColor rgb="FFEDE9FE"/>
      </patternFill>
    </fill>
    <fill>
      <patternFill patternType="solid">
        <fgColor rgb="FFF0FDF4"/>
        <bgColor rgb="FFF9FAFB"/>
      </patternFill>
    </fill>
    <fill>
      <patternFill patternType="solid">
        <fgColor rgb="FFF3F4F6"/>
        <bgColor rgb="FFEFF6FF"/>
      </patternFill>
    </fill>
    <fill>
      <patternFill patternType="solid">
        <fgColor rgb="FFF9FAFB"/>
        <bgColor rgb="FFFFFFFF"/>
      </patternFill>
    </fill>
    <fill>
      <patternFill patternType="solid">
        <fgColor rgb="FFEDE9FE"/>
        <bgColor rgb="FFF3F4F6"/>
      </patternFill>
    </fill>
    <fill>
      <patternFill patternType="solid">
        <fgColor rgb="FFD1FAE5"/>
        <bgColor rgb="FFDBEAFE"/>
      </patternFill>
    </fill>
    <fill>
      <patternFill patternType="solid">
        <fgColor rgb="FFDBEAFE"/>
        <bgColor rgb="FFEDE9FE"/>
      </patternFill>
    </fill>
    <fill>
      <patternFill patternType="solid">
        <fgColor rgb="FFFEF9C3"/>
        <bgColor rgb="FFFEF3C7"/>
      </patternFill>
    </fill>
    <fill>
      <patternFill patternType="solid">
        <fgColor rgb="FFEFF6FF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5B21B6"/>
      <rgbColor rgb="FF065F46"/>
      <rgbColor rgb="FFEDE9FE"/>
      <rgbColor rgb="FF4B5563"/>
      <rgbColor rgb="FF9999FF"/>
      <rgbColor rgb="FF78350F"/>
      <rgbColor rgb="FFFEF9C3"/>
      <rgbColor rgb="FFDBEAFE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D1FAE5"/>
      <rgbColor rgb="FFFEF3C7"/>
      <rgbColor rgb="FFEFF6FF"/>
      <rgbColor rgb="FFF3F4F6"/>
      <rgbColor rgb="FFF9FAFB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E3A5F"/>
      <rgbColor rgb="FF339966"/>
      <rgbColor rgb="FF003300"/>
      <rgbColor rgb="FF374151"/>
      <rgbColor rgb="FF92400E"/>
      <rgbColor rgb="FF993366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10" min="9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72" hidden="false" customHeight="true" outlineLevel="0" collapsed="false">
      <c r="A3" s="3" t="s">
        <v>11</v>
      </c>
      <c r="B3" s="4" t="s">
        <v>12</v>
      </c>
      <c r="C3" s="5" t="s">
        <v>13</v>
      </c>
      <c r="D3" s="6" t="s">
        <v>14</v>
      </c>
      <c r="E3" s="7" t="s">
        <v>15</v>
      </c>
      <c r="F3" s="8" t="s">
        <v>16</v>
      </c>
      <c r="G3" s="9" t="s">
        <v>17</v>
      </c>
      <c r="H3" s="10" t="s">
        <v>18</v>
      </c>
      <c r="I3" s="11" t="s">
        <v>19</v>
      </c>
      <c r="J3" s="12"/>
    </row>
    <row r="4" customFormat="false" ht="72" hidden="false" customHeight="true" outlineLevel="0" collapsed="false">
      <c r="A4" s="13" t="s">
        <v>20</v>
      </c>
      <c r="B4" s="14" t="s">
        <v>21</v>
      </c>
      <c r="C4" s="15" t="s">
        <v>22</v>
      </c>
      <c r="D4" s="16" t="s">
        <v>23</v>
      </c>
      <c r="E4" s="17" t="s">
        <v>24</v>
      </c>
      <c r="F4" s="18" t="s">
        <v>25</v>
      </c>
      <c r="G4" s="9" t="s">
        <v>17</v>
      </c>
      <c r="H4" s="10" t="s">
        <v>26</v>
      </c>
      <c r="I4" s="11" t="s">
        <v>19</v>
      </c>
      <c r="J4" s="19"/>
    </row>
    <row r="5" customFormat="false" ht="72" hidden="false" customHeight="true" outlineLevel="0" collapsed="false">
      <c r="A5" s="3" t="s">
        <v>27</v>
      </c>
      <c r="B5" s="4" t="s">
        <v>28</v>
      </c>
      <c r="C5" s="5" t="s">
        <v>29</v>
      </c>
      <c r="D5" s="6" t="s">
        <v>30</v>
      </c>
      <c r="E5" s="7" t="s">
        <v>31</v>
      </c>
      <c r="F5" s="20" t="s">
        <v>32</v>
      </c>
      <c r="G5" s="9" t="s">
        <v>17</v>
      </c>
      <c r="H5" s="10" t="s">
        <v>33</v>
      </c>
      <c r="I5" s="11" t="s">
        <v>19</v>
      </c>
      <c r="J5" s="12"/>
    </row>
    <row r="6" customFormat="false" ht="72" hidden="false" customHeight="true" outlineLevel="0" collapsed="false">
      <c r="A6" s="13" t="s">
        <v>34</v>
      </c>
      <c r="B6" s="14" t="s">
        <v>28</v>
      </c>
      <c r="C6" s="15" t="s">
        <v>35</v>
      </c>
      <c r="D6" s="16" t="s">
        <v>36</v>
      </c>
      <c r="E6" s="17" t="s">
        <v>37</v>
      </c>
      <c r="F6" s="9" t="s">
        <v>38</v>
      </c>
      <c r="G6" s="9" t="s">
        <v>17</v>
      </c>
      <c r="H6" s="10" t="s">
        <v>39</v>
      </c>
      <c r="I6" s="11" t="s">
        <v>19</v>
      </c>
      <c r="J6" s="19"/>
    </row>
    <row r="7" customFormat="false" ht="72" hidden="false" customHeight="true" outlineLevel="0" collapsed="false">
      <c r="A7" s="3" t="s">
        <v>40</v>
      </c>
      <c r="B7" s="4" t="s">
        <v>41</v>
      </c>
      <c r="C7" s="5" t="s">
        <v>42</v>
      </c>
      <c r="D7" s="6" t="s">
        <v>43</v>
      </c>
      <c r="E7" s="7" t="s">
        <v>44</v>
      </c>
      <c r="F7" s="20" t="s">
        <v>32</v>
      </c>
      <c r="G7" s="9" t="s">
        <v>17</v>
      </c>
      <c r="H7" s="10" t="s">
        <v>45</v>
      </c>
      <c r="I7" s="11" t="s">
        <v>19</v>
      </c>
      <c r="J7" s="12"/>
    </row>
    <row r="8" customFormat="false" ht="72" hidden="false" customHeight="true" outlineLevel="0" collapsed="false">
      <c r="A8" s="13" t="s">
        <v>46</v>
      </c>
      <c r="B8" s="14" t="s">
        <v>41</v>
      </c>
      <c r="C8" s="15" t="s">
        <v>47</v>
      </c>
      <c r="D8" s="16" t="s">
        <v>48</v>
      </c>
      <c r="E8" s="17" t="s">
        <v>49</v>
      </c>
      <c r="F8" s="21" t="s">
        <v>50</v>
      </c>
      <c r="G8" s="22" t="s">
        <v>51</v>
      </c>
      <c r="H8" s="10" t="s">
        <v>52</v>
      </c>
      <c r="I8" s="11" t="s">
        <v>19</v>
      </c>
      <c r="J8" s="19"/>
    </row>
    <row r="9" customFormat="false" ht="72" hidden="false" customHeight="true" outlineLevel="0" collapsed="false">
      <c r="A9" s="3" t="s">
        <v>53</v>
      </c>
      <c r="B9" s="4" t="s">
        <v>54</v>
      </c>
      <c r="C9" s="5" t="s">
        <v>55</v>
      </c>
      <c r="D9" s="6" t="s">
        <v>56</v>
      </c>
      <c r="E9" s="7" t="s">
        <v>57</v>
      </c>
      <c r="F9" s="20" t="s">
        <v>32</v>
      </c>
      <c r="G9" s="22" t="s">
        <v>51</v>
      </c>
      <c r="H9" s="10" t="s">
        <v>58</v>
      </c>
      <c r="I9" s="11" t="s">
        <v>19</v>
      </c>
      <c r="J9" s="12"/>
    </row>
    <row r="10" customFormat="false" ht="72" hidden="false" customHeight="true" outlineLevel="0" collapsed="false">
      <c r="A10" s="13" t="s">
        <v>59</v>
      </c>
      <c r="B10" s="14" t="s">
        <v>60</v>
      </c>
      <c r="C10" s="15" t="s">
        <v>61</v>
      </c>
      <c r="D10" s="16" t="s">
        <v>62</v>
      </c>
      <c r="E10" s="17" t="s">
        <v>63</v>
      </c>
      <c r="F10" s="18" t="s">
        <v>25</v>
      </c>
      <c r="G10" s="22" t="s">
        <v>51</v>
      </c>
      <c r="H10" s="10" t="s">
        <v>64</v>
      </c>
      <c r="I10" s="11" t="s">
        <v>19</v>
      </c>
      <c r="J10" s="19"/>
    </row>
    <row r="11" customFormat="false" ht="72" hidden="false" customHeight="true" outlineLevel="0" collapsed="false">
      <c r="A11" s="3" t="s">
        <v>65</v>
      </c>
      <c r="B11" s="4" t="s">
        <v>66</v>
      </c>
      <c r="C11" s="5" t="s">
        <v>67</v>
      </c>
      <c r="D11" s="6" t="s">
        <v>68</v>
      </c>
      <c r="E11" s="7" t="s">
        <v>69</v>
      </c>
      <c r="F11" s="20" t="s">
        <v>32</v>
      </c>
      <c r="G11" s="22" t="s">
        <v>51</v>
      </c>
      <c r="H11" s="10" t="s">
        <v>70</v>
      </c>
      <c r="I11" s="11" t="s">
        <v>19</v>
      </c>
      <c r="J11" s="12"/>
    </row>
    <row r="12" customFormat="false" ht="72" hidden="false" customHeight="true" outlineLevel="0" collapsed="false">
      <c r="A12" s="13" t="s">
        <v>71</v>
      </c>
      <c r="B12" s="14" t="s">
        <v>38</v>
      </c>
      <c r="C12" s="15" t="s">
        <v>72</v>
      </c>
      <c r="D12" s="16" t="s">
        <v>73</v>
      </c>
      <c r="E12" s="17" t="s">
        <v>74</v>
      </c>
      <c r="F12" s="9" t="s">
        <v>38</v>
      </c>
      <c r="G12" s="9" t="s">
        <v>17</v>
      </c>
      <c r="H12" s="10" t="s">
        <v>75</v>
      </c>
      <c r="I12" s="11" t="s">
        <v>19</v>
      </c>
      <c r="J12" s="19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2"/>
  </cols>
  <sheetData>
    <row r="1" customFormat="false" ht="7.5" hidden="false" customHeight="true" outlineLevel="0" collapsed="false"/>
    <row r="2" customFormat="false" ht="36" hidden="false" customHeight="true" outlineLevel="0" collapsed="false">
      <c r="B2" s="23" t="s">
        <v>76</v>
      </c>
      <c r="C2" s="23"/>
    </row>
    <row r="3" customFormat="false" ht="19.5" hidden="false" customHeight="true" outlineLevel="0" collapsed="false">
      <c r="B3" s="24" t="s">
        <v>77</v>
      </c>
      <c r="C3" s="25" t="s">
        <v>78</v>
      </c>
    </row>
    <row r="4" customFormat="false" ht="19.5" hidden="false" customHeight="true" outlineLevel="0" collapsed="false">
      <c r="B4" s="24" t="s">
        <v>79</v>
      </c>
      <c r="C4" s="25" t="s">
        <v>80</v>
      </c>
    </row>
    <row r="5" customFormat="false" ht="19.5" hidden="false" customHeight="true" outlineLevel="0" collapsed="false">
      <c r="B5" s="24" t="s">
        <v>81</v>
      </c>
      <c r="C5" s="25" t="s">
        <v>82</v>
      </c>
    </row>
    <row r="6" customFormat="false" ht="19.5" hidden="false" customHeight="true" outlineLevel="0" collapsed="false">
      <c r="B6" s="24" t="s">
        <v>83</v>
      </c>
      <c r="C6" s="26" t="s">
        <v>84</v>
      </c>
    </row>
    <row r="7" customFormat="false" ht="19.5" hidden="false" customHeight="true" outlineLevel="0" collapsed="false">
      <c r="B7" s="24" t="s">
        <v>85</v>
      </c>
      <c r="C7" s="26" t="s">
        <v>86</v>
      </c>
    </row>
    <row r="8" customFormat="false" ht="19.5" hidden="false" customHeight="true" outlineLevel="0" collapsed="false">
      <c r="B8" s="24" t="s">
        <v>87</v>
      </c>
      <c r="C8" s="26" t="s">
        <v>88</v>
      </c>
    </row>
    <row r="9" customFormat="false" ht="19.5" hidden="false" customHeight="true" outlineLevel="0" collapsed="false">
      <c r="B9" s="24" t="s">
        <v>89</v>
      </c>
      <c r="C9" s="26" t="s">
        <v>90</v>
      </c>
    </row>
    <row r="11" customFormat="false" ht="21.75" hidden="false" customHeight="true" outlineLevel="0" collapsed="false">
      <c r="B11" s="27" t="s">
        <v>91</v>
      </c>
      <c r="C11" s="27" t="s">
        <v>92</v>
      </c>
    </row>
    <row r="12" customFormat="false" ht="19.5" hidden="false" customHeight="true" outlineLevel="0" collapsed="false">
      <c r="B12" s="28" t="s">
        <v>93</v>
      </c>
      <c r="C12" s="29" t="n">
        <f aca="false">COUNTA('Mobile Test Cases'!A3:A100)-COUNTBLANK('Mobile Test Cases'!A3:A100)</f>
        <v>-78</v>
      </c>
    </row>
    <row r="13" customFormat="false" ht="19.5" hidden="false" customHeight="true" outlineLevel="0" collapsed="false">
      <c r="B13" s="30" t="s">
        <v>19</v>
      </c>
      <c r="C13" s="31" t="n">
        <f aca="false">COUNTIF('Mobile Test Cases'!I3:I100,"Not Executed")</f>
        <v>10</v>
      </c>
    </row>
    <row r="14" customFormat="false" ht="19.5" hidden="false" customHeight="true" outlineLevel="0" collapsed="false">
      <c r="B14" s="28" t="s">
        <v>94</v>
      </c>
      <c r="C14" s="29" t="n">
        <f aca="false">COUNTIF('Mobile Test Cases'!I3:I100,"Pass")</f>
        <v>0</v>
      </c>
    </row>
    <row r="15" customFormat="false" ht="19.5" hidden="false" customHeight="true" outlineLevel="0" collapsed="false">
      <c r="B15" s="30" t="s">
        <v>95</v>
      </c>
      <c r="C15" s="31" t="n">
        <f aca="false">COUNTIF('Mobile Test Cases'!I3:I100,"Fail")</f>
        <v>0</v>
      </c>
    </row>
    <row r="16" customFormat="false" ht="19.5" hidden="false" customHeight="true" outlineLevel="0" collapsed="false">
      <c r="B16" s="28" t="s">
        <v>96</v>
      </c>
      <c r="C16" s="32" t="n">
        <f aca="false">IFERROR(COUNTIF('Mobile Test Cases'!I3:I100,"Pass")/COUNTA('Mobile Test Cases'!I3:I100),0)</f>
        <v>0</v>
      </c>
    </row>
    <row r="18" customFormat="false" ht="21.75" hidden="false" customHeight="true" outlineLevel="0" collapsed="false">
      <c r="B18" s="33" t="s">
        <v>97</v>
      </c>
      <c r="C18" s="33"/>
    </row>
  </sheetData>
  <mergeCells count="2">
    <mergeCell ref="B2:C2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2026-05-16T09:03:07Z</dcterms:created>
  <dc:creator>openpyxl</dc:creator>
  <dc:description/>
  <dc:language>en-US</dc:language>
  <cp:lastModifiedBy/>
  <dcterms:modified xsi:type="dcterms:W3CDTF">2026-05-16T09:03:07Z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